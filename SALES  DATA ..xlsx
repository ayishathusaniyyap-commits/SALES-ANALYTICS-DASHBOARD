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niyya\"/>
    </mc:Choice>
  </mc:AlternateContent>
  <xr:revisionPtr revIDLastSave="0" documentId="8_{C3E5750E-0D13-46FC-B482-2BD767C90FC1}" xr6:coauthVersionLast="47" xr6:coauthVersionMax="47" xr10:uidLastSave="{00000000-0000-0000-0000-000000000000}"/>
  <bookViews>
    <workbookView xWindow="-120" yWindow="-120" windowWidth="21840" windowHeight="13020" xr2:uid="{12381852-2E7C-4CA0-B548-BED95217EB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<sst xmlns="http://schemas.openxmlformats.org/spreadsheetml/2006/main" count="498" uniqueCount="196">
  <si>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</si>
  <si>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</si>
  <si>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</si>
  <si>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</si>
  <si>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</si>
  <si>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</si>
  <si>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</si>
  <si>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</si>
  <si>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</si>
  <si>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</si>
  <si>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</si>
  <si>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</si>
  <si>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</si>
  <si>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</si>
  <si>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Month_No</t>
  </si>
  <si>
    <t>Profit_Margin_%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</si>
  <si>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</si>
  <si>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</si>
  <si>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</si>
  <si>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</si>
  <si>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</si>
  <si>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</si>
  <si>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</si>
  <si>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</si>
  <si>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</si>
  <si>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</si>
  <si>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</si>
  <si>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</si>
  <si>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</si>
  <si>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</si>
  <si>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</si>
  <si>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</si>
  <si>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</si>
  <si>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</si>
  <si>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</si>
  <si>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</si>
  <si>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</si>
  <si>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</si>
  <si>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</si>
  <si>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</si>
  <si>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</si>
  <si>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</si>
  <si>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</si>
  <si>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</si>
  <si>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</si>
  <si>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</si>
  <si>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upi</t>
  </si>
  <si>
    <t xml:space="preserve"> 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</si>
  <si>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</si>
  <si>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</si>
  <si>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</si>
  <si>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</si>
  <si>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</si>
  <si>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</si>
  <si>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</si>
  <si>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</si>
  <si>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</si>
  <si>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</si>
  <si>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</si>
  <si>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</si>
  <si>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</si>
  <si>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</si>
  <si>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</si>
  <si>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</si>
  <si>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</si>
  <si>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</si>
  <si>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</si>
  <si>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</si>
  <si>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</si>
  <si>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</si>
  <si>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</si>
  <si>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</si>
  <si>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</si>
  <si>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</si>
  <si>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</si>
  <si>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</si>
  <si>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</si>
  <si>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</si>
  <si>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</si>
  <si>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 xml:space="preserve">Mouse 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</si>
  <si>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</si>
  <si>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</si>
  <si>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</si>
  <si>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</si>
  <si>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</si>
  <si>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</si>
  <si>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</si>
  <si>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</si>
  <si>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</si>
  <si>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</si>
  <si>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</si>
  <si>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</si>
  <si>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</si>
  <si>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</si>
  <si>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</si>
  <si>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</si>
  <si>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</si>
  <si>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</si>
  <si>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</si>
  <si>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</si>
  <si>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</si>
  <si>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</si>
  <si>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</si>
  <si>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</si>
  <si>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</si>
  <si>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</si>
  <si>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</si>
  <si>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</si>
  <si>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</si>
  <si>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</si>
  <si>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</si>
  <si>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</si>
  <si>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</si>
  <si>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</si>
  <si>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</si>
  <si>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</si>
  <si>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</si>
  <si>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</si>
  <si>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</si>
  <si>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</si>
  <si>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</si>
  <si>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</si>
  <si>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</si>
  <si>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</si>
  <si>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Unknow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</si>
  <si>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</si>
  <si>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</si>
  <si>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</si>
  <si>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</si>
  <si>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</si>
  <si>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</si>
  <si>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</si>
  <si>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</si>
  <si>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</si>
  <si>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</si>
  <si>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</si>
  <si>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</si>
  <si>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</si>
  <si>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</si>
  <si>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</si>
  <si>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</si>
  <si>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</si>
  <si>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</si>
  <si>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</si>
  <si>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</si>
  <si>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</si>
  <si>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</si>
  <si>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 xml:space="preserve">Card 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</si>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</sst>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7C76-7504-4EC0-AE7E-9E799116B614}">
  <dimension ref="A1:T82"/>
  <sheetViews>
    <sheetView tabSelected="1" workbookViewId="0"/>
  </sheetViews>
  <sheetFormatPr defaultRowHeight="15" x14ac:dyDescent="0.25"/>
  <cols>
    <col min="1" max="1" width="12.7109375" customWidth="1"/>
    <col min="2" max="2" width="19.42578125" customWidth="1"/>
    <col min="5" max="5" width="12.28515625" customWidth="1"/>
    <col min="8" max="8" width="12" customWidth="1"/>
    <col min="9" max="9" width="14.5703125" customWidth="1"/>
    <col min="10" max="10" width="18.42578125" customWidth="1"/>
    <col min="11" max="11" width="13" customWidth="1"/>
    <col min="12" max="12" width="10.42578125" customWidth="1"/>
    <col min="15" max="15" width="10.85546875" customWidth="1"/>
    <col min="16" max="16" width="19.140625" customWidth="1"/>
  </cols>
  <sheetData>
    <row r="1" spans="1:2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spans="1:20" x14ac:dyDescent="0.25">
      <c r="A2" t="s">
        <v>16</v>
      </c>
      <c r="B2" s="4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 t="shared" ref="N2:N65" si="0">TEXT(B2,"MMM")</f>
        <v>Jan</v>
      </c>
      <c r="O2">
        <f t="shared" ref="O2:O65" si="1">MONTH(B2)</f>
        <v>1</v>
      </c>
      <c r="P2" s="5">
        <f t="shared" ref="P2:P65" si="2">M2/K2</f>
        <v>0.32583345270496111</v>
      </c>
    </row>
    <row r="3" spans="1:20" x14ac:dyDescent="0.25">
      <c r="A3" t="s">
        <v>22</v>
      </c>
      <c r="B3" s="4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si="0"/>
        <v>Jan</v>
      </c>
      <c r="O3">
        <f t="shared" si="1"/>
        <v>1</v>
      </c>
      <c r="P3" s="5">
        <f t="shared" si="2"/>
        <v>0.29220508166969145</v>
      </c>
    </row>
    <row r="4" spans="1:20" x14ac:dyDescent="0.25">
      <c r="A4" t="s">
        <v>27</v>
      </c>
      <c r="B4" s="4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5">
        <f t="shared" si="2"/>
        <v>0.36430812757201647</v>
      </c>
    </row>
    <row r="5" spans="1:20" x14ac:dyDescent="0.25">
      <c r="A5" t="s">
        <v>30</v>
      </c>
      <c r="B5" s="4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5">
        <f t="shared" si="2"/>
        <v>0.37493029703587172</v>
      </c>
    </row>
    <row r="6" spans="1:20" x14ac:dyDescent="0.25">
      <c r="A6" t="s">
        <v>33</v>
      </c>
      <c r="B6" s="4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5">
        <f t="shared" si="2"/>
        <v>0.18747002398081536</v>
      </c>
    </row>
    <row r="7" spans="1:20" x14ac:dyDescent="0.25">
      <c r="A7" t="s">
        <v>35</v>
      </c>
      <c r="B7" s="4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5">
        <f t="shared" si="2"/>
        <v>0.21280316779409339</v>
      </c>
    </row>
    <row r="8" spans="1:20" x14ac:dyDescent="0.25">
      <c r="A8" t="s">
        <v>39</v>
      </c>
      <c r="B8" s="4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5">
        <f t="shared" si="2"/>
        <v>0.24080703156212546</v>
      </c>
    </row>
    <row r="9" spans="1:20" x14ac:dyDescent="0.25">
      <c r="A9" t="s">
        <v>41</v>
      </c>
      <c r="B9" s="4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5">
        <f t="shared" si="2"/>
        <v>0.2982114301178439</v>
      </c>
    </row>
    <row r="10" spans="1:20" x14ac:dyDescent="0.25">
      <c r="A10" t="s">
        <v>44</v>
      </c>
      <c r="B10" s="4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>
        <v>2134</v>
      </c>
      <c r="I10">
        <v>0</v>
      </c>
      <c r="J10" t="s">
        <v>46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5">
        <f t="shared" si="2"/>
        <v>0.34534051858794124</v>
      </c>
      <c r="T10" t="s">
        <v>47</v>
      </c>
    </row>
    <row r="11" spans="1:20" x14ac:dyDescent="0.25">
      <c r="A11" t="s">
        <v>48</v>
      </c>
      <c r="B11" s="4">
        <v>46043.506329113923</v>
      </c>
      <c r="C11" t="s">
        <v>49</v>
      </c>
      <c r="D11" t="s">
        <v>24</v>
      </c>
      <c r="E11" t="s">
        <v>25</v>
      </c>
      <c r="F11" t="s">
        <v>50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5">
        <f t="shared" si="2"/>
        <v>0.34871311249950881</v>
      </c>
    </row>
    <row r="12" spans="1:20" x14ac:dyDescent="0.25">
      <c r="A12" t="s">
        <v>51</v>
      </c>
      <c r="B12" s="4">
        <v>46045.784810126577</v>
      </c>
      <c r="C12" t="s">
        <v>52</v>
      </c>
      <c r="D12" t="s">
        <v>18</v>
      </c>
      <c r="E12" t="s">
        <v>19</v>
      </c>
      <c r="F12" t="s">
        <v>20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5">
        <f t="shared" si="2"/>
        <v>0.329951371386212</v>
      </c>
    </row>
    <row r="13" spans="1:20" x14ac:dyDescent="0.25">
      <c r="A13" t="s">
        <v>53</v>
      </c>
      <c r="B13" s="4">
        <v>46048.063291139239</v>
      </c>
      <c r="C13" t="s">
        <v>54</v>
      </c>
      <c r="D13" t="s">
        <v>29</v>
      </c>
      <c r="E13" t="s">
        <v>25</v>
      </c>
      <c r="F13" t="s">
        <v>50</v>
      </c>
      <c r="G13">
        <v>4</v>
      </c>
      <c r="H13">
        <v>2639</v>
      </c>
      <c r="I13">
        <v>10</v>
      </c>
      <c r="J13" t="s">
        <v>55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5">
        <f t="shared" si="2"/>
        <v>0.27015494084459601</v>
      </c>
    </row>
    <row r="14" spans="1:20" x14ac:dyDescent="0.25">
      <c r="A14" t="s">
        <v>56</v>
      </c>
      <c r="B14" s="4">
        <v>46050.3417721519</v>
      </c>
      <c r="C14" t="s">
        <v>57</v>
      </c>
      <c r="D14" t="s">
        <v>24</v>
      </c>
      <c r="E14" t="s">
        <v>25</v>
      </c>
      <c r="F14" t="s">
        <v>50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5">
        <f t="shared" si="2"/>
        <v>0.23708156779661016</v>
      </c>
    </row>
    <row r="15" spans="1:20" x14ac:dyDescent="0.25">
      <c r="A15" t="s">
        <v>58</v>
      </c>
      <c r="B15" s="4">
        <v>46052.620253164547</v>
      </c>
      <c r="C15" t="s">
        <v>59</v>
      </c>
      <c r="D15" t="s">
        <v>37</v>
      </c>
      <c r="E15" t="s">
        <v>25</v>
      </c>
      <c r="F15" t="s">
        <v>50</v>
      </c>
      <c r="G15">
        <v>4</v>
      </c>
      <c r="H15">
        <v>1687</v>
      </c>
      <c r="I15">
        <v>15</v>
      </c>
      <c r="J15" t="s">
        <v>55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5">
        <f t="shared" si="2"/>
        <v>0.24796017992259142</v>
      </c>
    </row>
    <row r="16" spans="1:20" x14ac:dyDescent="0.25">
      <c r="A16" t="s">
        <v>60</v>
      </c>
      <c r="B16" s="4">
        <v>46054.898734177208</v>
      </c>
      <c r="C16" t="s">
        <v>61</v>
      </c>
      <c r="D16" t="s">
        <v>18</v>
      </c>
      <c r="E16" t="s">
        <v>19</v>
      </c>
      <c r="F16" t="s">
        <v>43</v>
      </c>
      <c r="G16">
        <v>3</v>
      </c>
      <c r="H16">
        <v>14259</v>
      </c>
      <c r="I16">
        <v>0</v>
      </c>
      <c r="J16" t="s">
        <v>55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5">
        <f t="shared" si="2"/>
        <v>0.32401313790120856</v>
      </c>
    </row>
    <row r="17" spans="1:16" x14ac:dyDescent="0.25">
      <c r="A17" t="s">
        <v>62</v>
      </c>
      <c r="B17" s="4">
        <v>46057.177215189869</v>
      </c>
      <c r="C17" t="s">
        <v>63</v>
      </c>
      <c r="D17" t="s">
        <v>37</v>
      </c>
      <c r="E17" t="s">
        <v>25</v>
      </c>
      <c r="F17" t="s">
        <v>43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5">
        <f t="shared" si="2"/>
        <v>0.18902815040243465</v>
      </c>
    </row>
    <row r="18" spans="1:16" x14ac:dyDescent="0.25">
      <c r="A18" t="s">
        <v>64</v>
      </c>
      <c r="B18" s="4">
        <v>46059.455696202524</v>
      </c>
      <c r="C18" t="s">
        <v>65</v>
      </c>
      <c r="D18" t="s">
        <v>18</v>
      </c>
      <c r="E18" t="s">
        <v>19</v>
      </c>
      <c r="F18" t="s">
        <v>43</v>
      </c>
      <c r="G18">
        <v>1</v>
      </c>
      <c r="H18">
        <v>14174</v>
      </c>
      <c r="I18">
        <v>0</v>
      </c>
      <c r="J18" t="s">
        <v>55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5">
        <f t="shared" si="2"/>
        <v>0.23242062932129251</v>
      </c>
    </row>
    <row r="19" spans="1:16" x14ac:dyDescent="0.25">
      <c r="A19" t="s">
        <v>66</v>
      </c>
      <c r="B19" s="4">
        <v>46061.734177215178</v>
      </c>
      <c r="C19" t="s">
        <v>67</v>
      </c>
      <c r="D19" t="s">
        <v>24</v>
      </c>
      <c r="E19" t="s">
        <v>25</v>
      </c>
      <c r="F19" t="s">
        <v>20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5">
        <f t="shared" si="2"/>
        <v>0.26912942844631649</v>
      </c>
    </row>
    <row r="20" spans="1:16" x14ac:dyDescent="0.25">
      <c r="A20" t="s">
        <v>68</v>
      </c>
      <c r="B20" s="4">
        <v>46064.012658227854</v>
      </c>
      <c r="C20" t="s">
        <v>69</v>
      </c>
      <c r="D20" t="s">
        <v>70</v>
      </c>
      <c r="E20" t="s">
        <v>19</v>
      </c>
      <c r="F20" t="s">
        <v>50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5">
        <f t="shared" si="2"/>
        <v>0.25765583956274463</v>
      </c>
    </row>
    <row r="21" spans="1:16" x14ac:dyDescent="0.25">
      <c r="A21" t="s">
        <v>71</v>
      </c>
      <c r="B21" s="4">
        <v>46066.2911392405</v>
      </c>
      <c r="C21" t="s">
        <v>72</v>
      </c>
      <c r="D21" t="s">
        <v>18</v>
      </c>
      <c r="E21" t="s">
        <v>19</v>
      </c>
      <c r="F21" t="s">
        <v>43</v>
      </c>
      <c r="G21">
        <v>2</v>
      </c>
      <c r="H21">
        <v>13837</v>
      </c>
      <c r="I21">
        <v>5</v>
      </c>
      <c r="J21" t="s">
        <v>55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5">
        <f t="shared" si="2"/>
        <v>0.29607992301343083</v>
      </c>
    </row>
    <row r="22" spans="1:16" x14ac:dyDescent="0.25">
      <c r="A22" t="s">
        <v>73</v>
      </c>
      <c r="B22" s="4">
        <v>46068.569620253162</v>
      </c>
      <c r="C22" t="s">
        <v>74</v>
      </c>
      <c r="D22" t="s">
        <v>37</v>
      </c>
      <c r="E22" t="s">
        <v>25</v>
      </c>
      <c r="F22" t="s">
        <v>43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5">
        <f t="shared" si="2"/>
        <v>0.33045517637486244</v>
      </c>
    </row>
    <row r="23" spans="1:16" x14ac:dyDescent="0.25">
      <c r="A23" t="s">
        <v>75</v>
      </c>
      <c r="B23" s="4">
        <v>46070.848101265823</v>
      </c>
      <c r="C23" t="s">
        <v>76</v>
      </c>
      <c r="D23" t="s">
        <v>24</v>
      </c>
      <c r="E23" t="s">
        <v>25</v>
      </c>
      <c r="F23" t="s">
        <v>20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5">
        <f t="shared" si="2"/>
        <v>0.30880630780491047</v>
      </c>
    </row>
    <row r="24" spans="1:16" x14ac:dyDescent="0.25">
      <c r="A24" t="s">
        <v>77</v>
      </c>
      <c r="B24" s="4">
        <v>46073.12658227847</v>
      </c>
      <c r="C24" t="s">
        <v>78</v>
      </c>
      <c r="D24" t="s">
        <v>79</v>
      </c>
      <c r="E24" t="s">
        <v>19</v>
      </c>
      <c r="F24" t="s">
        <v>43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5">
        <f t="shared" si="2"/>
        <v>0.2284304168680423</v>
      </c>
    </row>
    <row r="25" spans="1:16" x14ac:dyDescent="0.25">
      <c r="A25" t="s">
        <v>80</v>
      </c>
      <c r="B25" s="4">
        <v>46075.405063291131</v>
      </c>
      <c r="C25" t="s">
        <v>81</v>
      </c>
      <c r="D25" t="s">
        <v>70</v>
      </c>
      <c r="E25" t="s">
        <v>19</v>
      </c>
      <c r="F25" t="s">
        <v>20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5">
        <f t="shared" si="2"/>
        <v>0.37712131361225265</v>
      </c>
    </row>
    <row r="26" spans="1:16" x14ac:dyDescent="0.25">
      <c r="A26" t="s">
        <v>82</v>
      </c>
      <c r="B26" s="4">
        <v>46077.6835443038</v>
      </c>
      <c r="C26" t="s">
        <v>83</v>
      </c>
      <c r="D26" t="s">
        <v>70</v>
      </c>
      <c r="E26" t="s">
        <v>19</v>
      </c>
      <c r="F26" t="s">
        <v>32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5">
        <f t="shared" si="2"/>
        <v>0.3567854390827413</v>
      </c>
    </row>
    <row r="27" spans="1:16" x14ac:dyDescent="0.25">
      <c r="A27" t="s">
        <v>84</v>
      </c>
      <c r="B27" s="4">
        <v>46079.962025316447</v>
      </c>
      <c r="C27" t="s">
        <v>85</v>
      </c>
      <c r="D27" t="s">
        <v>29</v>
      </c>
      <c r="E27" t="s">
        <v>25</v>
      </c>
      <c r="F27" t="s">
        <v>43</v>
      </c>
      <c r="G27">
        <v>5</v>
      </c>
      <c r="H27">
        <v>2026</v>
      </c>
      <c r="I27">
        <v>10</v>
      </c>
      <c r="J27" t="s">
        <v>55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5">
        <f t="shared" si="2"/>
        <v>0.37079960513326754</v>
      </c>
    </row>
    <row r="28" spans="1:16" x14ac:dyDescent="0.25">
      <c r="A28" t="s">
        <v>86</v>
      </c>
      <c r="B28" s="4">
        <v>46082.240506329108</v>
      </c>
      <c r="C28" t="s">
        <v>87</v>
      </c>
      <c r="D28" t="s">
        <v>29</v>
      </c>
      <c r="E28" t="s">
        <v>25</v>
      </c>
      <c r="F28" t="s">
        <v>32</v>
      </c>
      <c r="G28">
        <v>3</v>
      </c>
      <c r="H28">
        <v>2225</v>
      </c>
      <c r="I28">
        <v>15</v>
      </c>
      <c r="J28" t="s">
        <v>55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5">
        <f t="shared" si="2"/>
        <v>0.37185459352280237</v>
      </c>
    </row>
    <row r="29" spans="1:16" x14ac:dyDescent="0.25">
      <c r="A29" t="s">
        <v>88</v>
      </c>
      <c r="B29" s="4">
        <v>46084.518987341769</v>
      </c>
      <c r="C29" t="s">
        <v>89</v>
      </c>
      <c r="D29" t="s">
        <v>37</v>
      </c>
      <c r="E29" t="s">
        <v>25</v>
      </c>
      <c r="F29" t="s">
        <v>20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5">
        <f t="shared" si="2"/>
        <v>0.20890735852169609</v>
      </c>
    </row>
    <row r="30" spans="1:16" x14ac:dyDescent="0.25">
      <c r="A30" t="s">
        <v>90</v>
      </c>
      <c r="B30" s="4">
        <v>46086.797468354423</v>
      </c>
      <c r="C30" t="s">
        <v>91</v>
      </c>
      <c r="D30" t="s">
        <v>18</v>
      </c>
      <c r="E30" t="s">
        <v>19</v>
      </c>
      <c r="F30" t="s">
        <v>50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5">
        <f t="shared" si="2"/>
        <v>0.23926838890674773</v>
      </c>
    </row>
    <row r="31" spans="1:16" x14ac:dyDescent="0.25">
      <c r="A31" t="s">
        <v>92</v>
      </c>
      <c r="B31" s="4">
        <v>46089.075949367078</v>
      </c>
      <c r="C31" t="s">
        <v>93</v>
      </c>
      <c r="D31" t="s">
        <v>18</v>
      </c>
      <c r="E31" t="s">
        <v>19</v>
      </c>
      <c r="F31" t="s">
        <v>43</v>
      </c>
      <c r="G31">
        <v>3</v>
      </c>
      <c r="H31">
        <v>14083</v>
      </c>
      <c r="I31">
        <v>15</v>
      </c>
      <c r="J31" t="s">
        <v>55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5">
        <f t="shared" si="2"/>
        <v>0.28516512051103193</v>
      </c>
    </row>
    <row r="32" spans="1:16" x14ac:dyDescent="0.25">
      <c r="A32" t="s">
        <v>94</v>
      </c>
      <c r="B32" s="4">
        <v>46091.354430379753</v>
      </c>
      <c r="C32" t="s">
        <v>95</v>
      </c>
      <c r="D32" t="s">
        <v>29</v>
      </c>
      <c r="E32" t="s">
        <v>25</v>
      </c>
      <c r="F32" t="s">
        <v>20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5">
        <f t="shared" si="2"/>
        <v>0.36043346774193546</v>
      </c>
    </row>
    <row r="33" spans="1:16" x14ac:dyDescent="0.25">
      <c r="A33" t="s">
        <v>96</v>
      </c>
      <c r="B33" s="4">
        <v>46093.632911392393</v>
      </c>
      <c r="C33" t="s">
        <v>97</v>
      </c>
      <c r="D33" t="s">
        <v>18</v>
      </c>
      <c r="E33" t="s">
        <v>19</v>
      </c>
      <c r="F33" t="s">
        <v>50</v>
      </c>
      <c r="G33">
        <v>3</v>
      </c>
      <c r="H33">
        <v>14252</v>
      </c>
      <c r="I33">
        <v>0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5">
        <f t="shared" si="2"/>
        <v>0.28167690564547149</v>
      </c>
    </row>
    <row r="34" spans="1:16" x14ac:dyDescent="0.25">
      <c r="A34" t="s">
        <v>98</v>
      </c>
      <c r="B34" s="4">
        <v>46095.911392405047</v>
      </c>
      <c r="C34" t="s">
        <v>99</v>
      </c>
      <c r="D34" t="s">
        <v>18</v>
      </c>
      <c r="E34" t="s">
        <v>19</v>
      </c>
      <c r="F34" t="s">
        <v>50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5">
        <f t="shared" si="2"/>
        <v>0.28530553108459344</v>
      </c>
    </row>
    <row r="35" spans="1:16" x14ac:dyDescent="0.25">
      <c r="A35" t="s">
        <v>100</v>
      </c>
      <c r="B35" s="4">
        <v>46098.189873417723</v>
      </c>
      <c r="C35" t="s">
        <v>101</v>
      </c>
      <c r="D35" t="s">
        <v>70</v>
      </c>
      <c r="E35" t="s">
        <v>19</v>
      </c>
      <c r="F35" t="s">
        <v>32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5">
        <f t="shared" si="2"/>
        <v>0.34535960709873753</v>
      </c>
    </row>
    <row r="36" spans="1:16" x14ac:dyDescent="0.25">
      <c r="A36" t="s">
        <v>102</v>
      </c>
      <c r="B36" s="4">
        <v>46100.46835443037</v>
      </c>
      <c r="C36" t="s">
        <v>103</v>
      </c>
      <c r="D36" t="s">
        <v>29</v>
      </c>
      <c r="E36" t="s">
        <v>25</v>
      </c>
      <c r="F36" t="s">
        <v>20</v>
      </c>
      <c r="G36">
        <v>3</v>
      </c>
      <c r="H36">
        <v>2546</v>
      </c>
      <c r="I36">
        <v>0</v>
      </c>
      <c r="J36" t="s">
        <v>55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5">
        <f t="shared" si="2"/>
        <v>0.29322990311599895</v>
      </c>
    </row>
    <row r="37" spans="1:16" x14ac:dyDescent="0.25">
      <c r="A37" t="s">
        <v>104</v>
      </c>
      <c r="B37" s="4">
        <v>46102.746835443031</v>
      </c>
      <c r="C37" t="s">
        <v>105</v>
      </c>
      <c r="D37" t="s">
        <v>24</v>
      </c>
      <c r="E37" t="s">
        <v>25</v>
      </c>
      <c r="F37" t="s">
        <v>50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5">
        <f t="shared" si="2"/>
        <v>0.30029914304316457</v>
      </c>
    </row>
    <row r="38" spans="1:16" x14ac:dyDescent="0.25">
      <c r="A38" t="s">
        <v>106</v>
      </c>
      <c r="B38" s="4">
        <v>46105.025316455693</v>
      </c>
      <c r="C38" t="s">
        <v>107</v>
      </c>
      <c r="D38" t="s">
        <v>29</v>
      </c>
      <c r="E38" t="s">
        <v>25</v>
      </c>
      <c r="F38" t="s">
        <v>43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5">
        <f t="shared" si="2"/>
        <v>0.25683051215277775</v>
      </c>
    </row>
    <row r="39" spans="1:16" x14ac:dyDescent="0.25">
      <c r="A39" t="s">
        <v>108</v>
      </c>
      <c r="B39" s="4">
        <v>46107.303797468347</v>
      </c>
      <c r="C39" t="s">
        <v>109</v>
      </c>
      <c r="D39" t="s">
        <v>24</v>
      </c>
      <c r="E39" t="s">
        <v>25</v>
      </c>
      <c r="F39" t="s">
        <v>43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5">
        <f t="shared" si="2"/>
        <v>0.2529812904353908</v>
      </c>
    </row>
    <row r="40" spans="1:16" x14ac:dyDescent="0.25">
      <c r="A40" t="s">
        <v>110</v>
      </c>
      <c r="B40" s="4">
        <v>46109.582278481008</v>
      </c>
      <c r="C40" t="s">
        <v>111</v>
      </c>
      <c r="D40" t="s">
        <v>70</v>
      </c>
      <c r="E40" t="s">
        <v>19</v>
      </c>
      <c r="F40" t="s">
        <v>32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5">
        <f t="shared" si="2"/>
        <v>0.37093914185639232</v>
      </c>
    </row>
    <row r="41" spans="1:16" x14ac:dyDescent="0.25">
      <c r="A41" t="s">
        <v>112</v>
      </c>
      <c r="B41" s="4">
        <v>46111.860759493669</v>
      </c>
      <c r="C41" t="s">
        <v>113</v>
      </c>
      <c r="D41" t="s">
        <v>37</v>
      </c>
      <c r="E41" t="s">
        <v>25</v>
      </c>
      <c r="F41" t="s">
        <v>50</v>
      </c>
      <c r="G41">
        <v>2</v>
      </c>
      <c r="H41">
        <v>1171</v>
      </c>
      <c r="I41">
        <v>5</v>
      </c>
      <c r="J41" t="s">
        <v>55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5">
        <f t="shared" si="2"/>
        <v>0.30507887994966065</v>
      </c>
    </row>
    <row r="42" spans="1:16" x14ac:dyDescent="0.25">
      <c r="A42" t="s">
        <v>114</v>
      </c>
      <c r="B42" s="4">
        <v>46114.139240506323</v>
      </c>
      <c r="C42" t="s">
        <v>115</v>
      </c>
      <c r="D42" t="s">
        <v>18</v>
      </c>
      <c r="E42" t="s">
        <v>19</v>
      </c>
      <c r="F42" t="s">
        <v>20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5">
        <f t="shared" si="2"/>
        <v>0.25482784641895773</v>
      </c>
    </row>
    <row r="43" spans="1:16" x14ac:dyDescent="0.25">
      <c r="A43" t="s">
        <v>116</v>
      </c>
      <c r="B43" s="4">
        <v>46116.417721518977</v>
      </c>
      <c r="C43" t="s">
        <v>117</v>
      </c>
      <c r="D43" t="s">
        <v>70</v>
      </c>
      <c r="E43" t="s">
        <v>19</v>
      </c>
      <c r="F43" t="s">
        <v>43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5">
        <f t="shared" si="2"/>
        <v>0.27937274085736569</v>
      </c>
    </row>
    <row r="44" spans="1:16" x14ac:dyDescent="0.25">
      <c r="A44" t="s">
        <v>118</v>
      </c>
      <c r="B44" s="4">
        <v>46118.696202531653</v>
      </c>
      <c r="C44" t="s">
        <v>119</v>
      </c>
      <c r="D44" t="s">
        <v>18</v>
      </c>
      <c r="E44" t="s">
        <v>19</v>
      </c>
      <c r="F44" t="s">
        <v>50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5">
        <f t="shared" si="2"/>
        <v>0.20870194363746294</v>
      </c>
    </row>
    <row r="45" spans="1:16" x14ac:dyDescent="0.25">
      <c r="A45" t="s">
        <v>120</v>
      </c>
      <c r="B45" s="4">
        <v>46120.974683544293</v>
      </c>
      <c r="C45" t="s">
        <v>121</v>
      </c>
      <c r="D45" t="s">
        <v>37</v>
      </c>
      <c r="E45" t="s">
        <v>25</v>
      </c>
      <c r="F45" t="s">
        <v>50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5">
        <f t="shared" si="2"/>
        <v>0.24825837320574162</v>
      </c>
    </row>
    <row r="46" spans="1:16" x14ac:dyDescent="0.25">
      <c r="A46" t="s">
        <v>122</v>
      </c>
      <c r="B46" s="4">
        <v>46123.253164556947</v>
      </c>
      <c r="C46" t="s">
        <v>123</v>
      </c>
      <c r="D46" t="s">
        <v>37</v>
      </c>
      <c r="E46" t="s">
        <v>25</v>
      </c>
      <c r="F46" t="s">
        <v>124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5">
        <f t="shared" si="2"/>
        <v>0.34741039272851992</v>
      </c>
    </row>
    <row r="47" spans="1:16" x14ac:dyDescent="0.25">
      <c r="A47" t="s">
        <v>125</v>
      </c>
      <c r="B47" s="4">
        <v>46125.531645569623</v>
      </c>
      <c r="C47" t="s">
        <v>126</v>
      </c>
      <c r="D47" t="s">
        <v>70</v>
      </c>
      <c r="E47" t="s">
        <v>19</v>
      </c>
      <c r="F47" t="s">
        <v>43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5">
        <f t="shared" si="2"/>
        <v>0.36588628412508573</v>
      </c>
    </row>
    <row r="48" spans="1:16" x14ac:dyDescent="0.25">
      <c r="A48" t="s">
        <v>127</v>
      </c>
      <c r="B48" s="4">
        <v>46127.81012658227</v>
      </c>
      <c r="C48" t="s">
        <v>128</v>
      </c>
      <c r="D48" t="s">
        <v>37</v>
      </c>
      <c r="E48" t="s">
        <v>25</v>
      </c>
      <c r="F48" t="s">
        <v>43</v>
      </c>
      <c r="G48">
        <v>2</v>
      </c>
      <c r="H48">
        <v>1098</v>
      </c>
      <c r="I48">
        <v>5</v>
      </c>
      <c r="J48" t="s">
        <v>55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5">
        <f t="shared" si="2"/>
        <v>0.25151471575112649</v>
      </c>
    </row>
    <row r="49" spans="1:16" x14ac:dyDescent="0.25">
      <c r="A49" t="s">
        <v>129</v>
      </c>
      <c r="B49" s="4">
        <v>46130.088607594931</v>
      </c>
      <c r="C49" t="s">
        <v>130</v>
      </c>
      <c r="D49" t="s">
        <v>24</v>
      </c>
      <c r="E49" t="s">
        <v>25</v>
      </c>
      <c r="F49" t="s">
        <v>20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5">
        <f t="shared" si="2"/>
        <v>0.3746983231468422</v>
      </c>
    </row>
    <row r="50" spans="1:16" x14ac:dyDescent="0.25">
      <c r="A50" t="s">
        <v>131</v>
      </c>
      <c r="B50" s="4">
        <v>46132.367088607592</v>
      </c>
      <c r="C50" t="s">
        <v>132</v>
      </c>
      <c r="D50" t="s">
        <v>37</v>
      </c>
      <c r="E50" t="s">
        <v>25</v>
      </c>
      <c r="F50" t="s">
        <v>43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5">
        <f t="shared" si="2"/>
        <v>0.26284515040533313</v>
      </c>
    </row>
    <row r="51" spans="1:16" x14ac:dyDescent="0.25">
      <c r="A51" t="s">
        <v>133</v>
      </c>
      <c r="B51" s="4">
        <v>46134.645569620247</v>
      </c>
      <c r="C51" t="s">
        <v>134</v>
      </c>
      <c r="D51" t="s">
        <v>18</v>
      </c>
      <c r="E51" t="s">
        <v>19</v>
      </c>
      <c r="F51" t="s">
        <v>20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5">
        <f t="shared" si="2"/>
        <v>0.19195410423145792</v>
      </c>
    </row>
    <row r="52" spans="1:16" x14ac:dyDescent="0.25">
      <c r="A52" t="s">
        <v>135</v>
      </c>
      <c r="B52" s="4">
        <v>46136.924050632908</v>
      </c>
      <c r="C52" t="s">
        <v>136</v>
      </c>
      <c r="D52" t="s">
        <v>18</v>
      </c>
      <c r="E52" t="s">
        <v>19</v>
      </c>
      <c r="F52" t="s">
        <v>43</v>
      </c>
      <c r="G52">
        <v>1</v>
      </c>
      <c r="H52">
        <v>14296</v>
      </c>
      <c r="I52">
        <v>15</v>
      </c>
      <c r="J52" t="s">
        <v>55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5">
        <f t="shared" si="2"/>
        <v>0.26490503308206326</v>
      </c>
    </row>
    <row r="53" spans="1:16" x14ac:dyDescent="0.25">
      <c r="A53" t="s">
        <v>137</v>
      </c>
      <c r="B53" s="4">
        <v>46139.202531645569</v>
      </c>
      <c r="C53" t="s">
        <v>138</v>
      </c>
      <c r="D53" t="s">
        <v>18</v>
      </c>
      <c r="E53" t="s">
        <v>19</v>
      </c>
      <c r="F53" t="s">
        <v>32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5">
        <f t="shared" si="2"/>
        <v>0.30236596695269841</v>
      </c>
    </row>
    <row r="54" spans="1:16" x14ac:dyDescent="0.25">
      <c r="A54" t="s">
        <v>139</v>
      </c>
      <c r="B54" s="4">
        <v>46141.481012658223</v>
      </c>
      <c r="C54" t="s">
        <v>140</v>
      </c>
      <c r="D54" t="s">
        <v>18</v>
      </c>
      <c r="E54" t="s">
        <v>19</v>
      </c>
      <c r="F54" t="s">
        <v>43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5">
        <f t="shared" si="2"/>
        <v>0.2513422746781116</v>
      </c>
    </row>
    <row r="55" spans="1:16" x14ac:dyDescent="0.25">
      <c r="A55" t="s">
        <v>141</v>
      </c>
      <c r="B55" s="4">
        <v>46143.759493670877</v>
      </c>
      <c r="C55" t="s">
        <v>142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5">
        <f t="shared" si="2"/>
        <v>0.28834927981762287</v>
      </c>
    </row>
    <row r="56" spans="1:16" x14ac:dyDescent="0.25">
      <c r="A56" t="s">
        <v>143</v>
      </c>
      <c r="B56" s="4">
        <v>46146.037974683539</v>
      </c>
      <c r="C56" t="s">
        <v>144</v>
      </c>
      <c r="D56" t="s">
        <v>29</v>
      </c>
      <c r="E56" t="s">
        <v>25</v>
      </c>
      <c r="F56" t="s">
        <v>20</v>
      </c>
      <c r="G56">
        <v>2</v>
      </c>
      <c r="H56">
        <v>2098</v>
      </c>
      <c r="I56">
        <v>0</v>
      </c>
      <c r="J56" t="s">
        <v>55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5">
        <f t="shared" si="2"/>
        <v>0.27087702573879885</v>
      </c>
    </row>
    <row r="57" spans="1:16" x14ac:dyDescent="0.25">
      <c r="A57" t="s">
        <v>145</v>
      </c>
      <c r="B57" s="4">
        <v>46148.316455696193</v>
      </c>
      <c r="C57" t="s">
        <v>146</v>
      </c>
      <c r="D57" t="s">
        <v>70</v>
      </c>
      <c r="E57" t="s">
        <v>19</v>
      </c>
      <c r="F57" t="s">
        <v>32</v>
      </c>
      <c r="G57">
        <v>1</v>
      </c>
      <c r="H57">
        <v>55499</v>
      </c>
      <c r="I57">
        <v>15</v>
      </c>
      <c r="J57" t="s">
        <v>147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5">
        <f t="shared" si="2"/>
        <v>0.19170711077995048</v>
      </c>
    </row>
    <row r="58" spans="1:16" x14ac:dyDescent="0.25">
      <c r="A58" t="s">
        <v>148</v>
      </c>
      <c r="B58" s="4">
        <v>46150.594936708847</v>
      </c>
      <c r="C58" t="s">
        <v>149</v>
      </c>
      <c r="D58" t="s">
        <v>18</v>
      </c>
      <c r="E58" t="s">
        <v>19</v>
      </c>
      <c r="F58" t="s">
        <v>43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5">
        <f t="shared" si="2"/>
        <v>0.30277948045908981</v>
      </c>
    </row>
    <row r="59" spans="1:16" x14ac:dyDescent="0.25">
      <c r="A59" t="s">
        <v>150</v>
      </c>
      <c r="B59" s="4">
        <v>46152.873417721523</v>
      </c>
      <c r="C59" t="s">
        <v>151</v>
      </c>
      <c r="D59" t="s">
        <v>37</v>
      </c>
      <c r="E59" t="s">
        <v>25</v>
      </c>
      <c r="F59" t="s">
        <v>43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5">
        <f t="shared" si="2"/>
        <v>0.1877627286208601</v>
      </c>
    </row>
    <row r="60" spans="1:16" x14ac:dyDescent="0.25">
      <c r="A60" t="s">
        <v>152</v>
      </c>
      <c r="B60" s="4">
        <v>46155.15189873417</v>
      </c>
      <c r="C60" t="s">
        <v>153</v>
      </c>
      <c r="D60" t="s">
        <v>18</v>
      </c>
      <c r="E60" t="s">
        <v>19</v>
      </c>
      <c r="F60" t="s">
        <v>32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5">
        <f t="shared" si="2"/>
        <v>0.19892983205237688</v>
      </c>
    </row>
    <row r="61" spans="1:16" x14ac:dyDescent="0.25">
      <c r="A61" t="s">
        <v>154</v>
      </c>
      <c r="B61" s="4">
        <v>46157.430379746831</v>
      </c>
      <c r="C61" t="s">
        <v>155</v>
      </c>
      <c r="D61" t="s">
        <v>37</v>
      </c>
      <c r="E61" t="s">
        <v>25</v>
      </c>
      <c r="F61" t="s">
        <v>43</v>
      </c>
      <c r="G61">
        <v>3</v>
      </c>
      <c r="H61">
        <v>1160</v>
      </c>
      <c r="I61">
        <v>10</v>
      </c>
      <c r="J61" t="s">
        <v>55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5">
        <f t="shared" si="2"/>
        <v>0.34084291187739463</v>
      </c>
    </row>
    <row r="62" spans="1:16" x14ac:dyDescent="0.25">
      <c r="A62" t="s">
        <v>156</v>
      </c>
      <c r="B62" s="4">
        <v>46159.708860759492</v>
      </c>
      <c r="C62" t="s">
        <v>157</v>
      </c>
      <c r="D62" t="s">
        <v>37</v>
      </c>
      <c r="E62" t="s">
        <v>25</v>
      </c>
      <c r="F62" t="s">
        <v>43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5">
        <f t="shared" si="2"/>
        <v>0.36613077103351299</v>
      </c>
    </row>
    <row r="63" spans="1:16" x14ac:dyDescent="0.25">
      <c r="A63" t="s">
        <v>158</v>
      </c>
      <c r="B63" s="4">
        <v>46161.987341772139</v>
      </c>
      <c r="C63" t="s">
        <v>159</v>
      </c>
      <c r="D63" t="s">
        <v>18</v>
      </c>
      <c r="E63" t="s">
        <v>19</v>
      </c>
      <c r="F63" t="s">
        <v>20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5">
        <f t="shared" si="2"/>
        <v>0.35984466193099235</v>
      </c>
    </row>
    <row r="64" spans="1:16" x14ac:dyDescent="0.25">
      <c r="A64" t="s">
        <v>160</v>
      </c>
      <c r="B64" s="4">
        <v>46164.265822784801</v>
      </c>
      <c r="C64" t="s">
        <v>161</v>
      </c>
      <c r="D64" t="s">
        <v>24</v>
      </c>
      <c r="E64" t="s">
        <v>25</v>
      </c>
      <c r="F64" t="s">
        <v>43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5">
        <f t="shared" si="2"/>
        <v>0.37635576813574767</v>
      </c>
    </row>
    <row r="65" spans="1:16" x14ac:dyDescent="0.25">
      <c r="A65" t="s">
        <v>162</v>
      </c>
      <c r="B65" s="4">
        <v>46166.544303797462</v>
      </c>
      <c r="C65" t="s">
        <v>163</v>
      </c>
      <c r="D65" t="s">
        <v>37</v>
      </c>
      <c r="E65" t="s">
        <v>25</v>
      </c>
      <c r="F65" t="s">
        <v>43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5">
        <f t="shared" si="2"/>
        <v>0.36111207511519849</v>
      </c>
    </row>
    <row r="66" spans="1:16" x14ac:dyDescent="0.25">
      <c r="A66" t="s">
        <v>164</v>
      </c>
      <c r="B66" s="4">
        <v>46168.822784810123</v>
      </c>
      <c r="C66" t="s">
        <v>165</v>
      </c>
      <c r="D66" t="s">
        <v>37</v>
      </c>
      <c r="E66" t="s">
        <v>25</v>
      </c>
      <c r="F66" t="s">
        <v>32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ref="N66:N81" si="3">TEXT(B66,"MMM")</f>
        <v>May</v>
      </c>
      <c r="O66">
        <f t="shared" ref="O66:O81" si="4">MONTH(B66)</f>
        <v>5</v>
      </c>
      <c r="P66" s="5">
        <f t="shared" ref="P66:P81" si="5">M66/K66</f>
        <v>0.24339785754557414</v>
      </c>
    </row>
    <row r="67" spans="1:16" x14ac:dyDescent="0.25">
      <c r="A67" t="s">
        <v>166</v>
      </c>
      <c r="B67" s="4">
        <v>46171.101265822777</v>
      </c>
      <c r="C67" t="s">
        <v>167</v>
      </c>
      <c r="D67" t="s">
        <v>18</v>
      </c>
      <c r="E67" t="s">
        <v>19</v>
      </c>
      <c r="F67" t="s">
        <v>32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si="3"/>
        <v>May</v>
      </c>
      <c r="O67">
        <f t="shared" si="4"/>
        <v>5</v>
      </c>
      <c r="P67" s="5">
        <f t="shared" si="5"/>
        <v>0.36576218540644884</v>
      </c>
    </row>
    <row r="68" spans="1:16" x14ac:dyDescent="0.25">
      <c r="A68" t="s">
        <v>168</v>
      </c>
      <c r="B68" s="4">
        <v>46173.379746835439</v>
      </c>
      <c r="C68" t="s">
        <v>169</v>
      </c>
      <c r="D68" t="s">
        <v>37</v>
      </c>
      <c r="E68" t="s">
        <v>25</v>
      </c>
      <c r="F68" t="s">
        <v>50</v>
      </c>
      <c r="G68">
        <v>1</v>
      </c>
      <c r="H68">
        <f>K68/(G68*(1-I68/100))</f>
        <v>1322</v>
      </c>
      <c r="I68">
        <v>10</v>
      </c>
      <c r="J68" t="s">
        <v>55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5">
        <f t="shared" si="5"/>
        <v>0.31620440410152972</v>
      </c>
    </row>
    <row r="69" spans="1:16" x14ac:dyDescent="0.25">
      <c r="A69" t="s">
        <v>170</v>
      </c>
      <c r="B69" s="4">
        <v>46175.658227848093</v>
      </c>
      <c r="C69" t="s">
        <v>171</v>
      </c>
      <c r="D69" t="s">
        <v>37</v>
      </c>
      <c r="E69" t="s">
        <v>25</v>
      </c>
      <c r="F69" t="s">
        <v>20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5">
        <f t="shared" si="5"/>
        <v>0.21102538740520935</v>
      </c>
    </row>
    <row r="70" spans="1:16" x14ac:dyDescent="0.25">
      <c r="A70" t="s">
        <v>172</v>
      </c>
      <c r="B70" s="4">
        <v>46177.936708860747</v>
      </c>
      <c r="C70" t="s">
        <v>173</v>
      </c>
      <c r="D70" t="s">
        <v>18</v>
      </c>
      <c r="E70" t="s">
        <v>19</v>
      </c>
      <c r="F70" t="s">
        <v>43</v>
      </c>
      <c r="G70">
        <v>3</v>
      </c>
      <c r="H70">
        <v>14425</v>
      </c>
      <c r="I70">
        <v>10</v>
      </c>
      <c r="J70" t="s">
        <v>55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5">
        <f t="shared" si="5"/>
        <v>0.3753455292380769</v>
      </c>
    </row>
    <row r="71" spans="1:16" x14ac:dyDescent="0.25">
      <c r="A71" t="s">
        <v>174</v>
      </c>
      <c r="B71" s="4">
        <v>46180.215189873423</v>
      </c>
      <c r="C71" t="s">
        <v>175</v>
      </c>
      <c r="D71" t="s">
        <v>18</v>
      </c>
      <c r="E71" t="s">
        <v>19</v>
      </c>
      <c r="F71" t="s">
        <v>43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5">
        <f t="shared" si="5"/>
        <v>0.21710630159638211</v>
      </c>
    </row>
    <row r="72" spans="1:16" x14ac:dyDescent="0.25">
      <c r="A72" t="s">
        <v>176</v>
      </c>
      <c r="B72" s="4">
        <v>46182.493670886062</v>
      </c>
      <c r="C72" t="s">
        <v>52</v>
      </c>
      <c r="D72" t="s">
        <v>70</v>
      </c>
      <c r="E72" t="s">
        <v>19</v>
      </c>
      <c r="F72" t="s">
        <v>50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5">
        <f t="shared" si="5"/>
        <v>0.32362905603624742</v>
      </c>
    </row>
    <row r="73" spans="1:16" x14ac:dyDescent="0.25">
      <c r="A73" t="s">
        <v>177</v>
      </c>
      <c r="B73" s="4">
        <v>46184.772151898716</v>
      </c>
      <c r="C73" t="s">
        <v>178</v>
      </c>
      <c r="D73" t="s">
        <v>24</v>
      </c>
      <c r="E73" t="s">
        <v>25</v>
      </c>
      <c r="F73" t="s">
        <v>43</v>
      </c>
      <c r="G73">
        <v>4</v>
      </c>
      <c r="H73">
        <v>3438</v>
      </c>
      <c r="I73">
        <v>15</v>
      </c>
      <c r="J73" t="s">
        <v>55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5">
        <f t="shared" si="5"/>
        <v>0.35636741607637812</v>
      </c>
    </row>
    <row r="74" spans="1:16" x14ac:dyDescent="0.25">
      <c r="A74" t="s">
        <v>179</v>
      </c>
      <c r="B74" s="4">
        <v>46187.050632911392</v>
      </c>
      <c r="C74" t="s">
        <v>180</v>
      </c>
      <c r="D74" t="s">
        <v>24</v>
      </c>
      <c r="E74" t="s">
        <v>25</v>
      </c>
      <c r="F74" t="s">
        <v>20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5">
        <f t="shared" si="5"/>
        <v>0.24065222297449784</v>
      </c>
    </row>
    <row r="75" spans="1:16" x14ac:dyDescent="0.25">
      <c r="A75" t="s">
        <v>181</v>
      </c>
      <c r="B75" s="4">
        <v>46189.329113924039</v>
      </c>
      <c r="C75" t="s">
        <v>182</v>
      </c>
      <c r="D75" t="s">
        <v>37</v>
      </c>
      <c r="E75" t="s">
        <v>25</v>
      </c>
      <c r="F75" t="s">
        <v>50</v>
      </c>
      <c r="G75">
        <v>1</v>
      </c>
      <c r="H75">
        <v>1489</v>
      </c>
      <c r="I75">
        <v>5</v>
      </c>
      <c r="J75" t="s">
        <v>55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5">
        <f t="shared" si="5"/>
        <v>0.25420805203068114</v>
      </c>
    </row>
    <row r="76" spans="1:16" x14ac:dyDescent="0.25">
      <c r="A76" t="s">
        <v>183</v>
      </c>
      <c r="B76" s="4">
        <v>46191.6075949367</v>
      </c>
      <c r="C76" t="s">
        <v>184</v>
      </c>
      <c r="D76" t="s">
        <v>24</v>
      </c>
      <c r="E76" t="s">
        <v>25</v>
      </c>
      <c r="F76" t="s">
        <v>20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5">
        <f t="shared" si="5"/>
        <v>0.20450518669006065</v>
      </c>
    </row>
    <row r="77" spans="1:16" x14ac:dyDescent="0.25">
      <c r="A77" t="s">
        <v>185</v>
      </c>
      <c r="B77" s="4">
        <v>46193.886075949362</v>
      </c>
      <c r="C77" t="s">
        <v>186</v>
      </c>
      <c r="D77" t="s">
        <v>37</v>
      </c>
      <c r="E77" t="s">
        <v>25</v>
      </c>
      <c r="F77" t="s">
        <v>50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5">
        <f t="shared" si="5"/>
        <v>0.23298181991697287</v>
      </c>
    </row>
    <row r="78" spans="1:16" x14ac:dyDescent="0.25">
      <c r="A78" t="s">
        <v>187</v>
      </c>
      <c r="B78" s="4">
        <v>46196.164556962023</v>
      </c>
      <c r="C78" t="s">
        <v>188</v>
      </c>
      <c r="D78" t="s">
        <v>70</v>
      </c>
      <c r="E78" t="s">
        <v>19</v>
      </c>
      <c r="F78" t="s">
        <v>50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5">
        <f t="shared" si="5"/>
        <v>0.2193038274044293</v>
      </c>
    </row>
    <row r="79" spans="1:16" x14ac:dyDescent="0.25">
      <c r="A79" t="s">
        <v>189</v>
      </c>
      <c r="B79" s="4">
        <v>46198.443037974677</v>
      </c>
      <c r="C79" t="s">
        <v>190</v>
      </c>
      <c r="D79" t="s">
        <v>18</v>
      </c>
      <c r="E79" t="s">
        <v>19</v>
      </c>
      <c r="F79" t="s">
        <v>32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5">
        <f t="shared" si="5"/>
        <v>0.32359321229381749</v>
      </c>
    </row>
    <row r="80" spans="1:16" x14ac:dyDescent="0.25">
      <c r="A80" t="s">
        <v>191</v>
      </c>
      <c r="B80" s="4">
        <v>46200.721518987339</v>
      </c>
      <c r="C80" t="s">
        <v>192</v>
      </c>
      <c r="D80" t="s">
        <v>18</v>
      </c>
      <c r="E80" t="s">
        <v>19</v>
      </c>
      <c r="F80" t="s">
        <v>20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5">
        <f t="shared" si="5"/>
        <v>0.34451198568872987</v>
      </c>
    </row>
    <row r="81" spans="1:16" x14ac:dyDescent="0.25">
      <c r="A81" t="s">
        <v>193</v>
      </c>
      <c r="B81" s="4">
        <v>46203</v>
      </c>
      <c r="C81" t="s">
        <v>194</v>
      </c>
      <c r="D81" t="s">
        <v>18</v>
      </c>
      <c r="E81" t="s">
        <v>19</v>
      </c>
      <c r="F81" t="s">
        <v>43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5">
        <f t="shared" si="5"/>
        <v>0.22987723489453596</v>
      </c>
    </row>
    <row r="82" spans="1:16" x14ac:dyDescent="0.25">
      <c r="B82" s="4"/>
      <c r="F8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2026-09-23T03:58:44Z</dcterms:created>
  <dcterms:modified xsi:type="dcterms:W3CDTF">2026-09-23T03:59:44Z</dcterms:modified>
</cp:coreProperties>
</file>